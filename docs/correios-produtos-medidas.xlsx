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Claude\clientes\casa-do-boi\docs\"/>
    </mc:Choice>
  </mc:AlternateContent>
  <xr:revisionPtr revIDLastSave="0" documentId="13_ncr:1_{93B0819D-A139-484D-B4A0-5EFBD52036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tos" sheetId="1" r:id="rId1"/>
    <sheet name="Perfil de postagem" sheetId="2" r:id="rId2"/>
    <sheet name="Regras Correios" sheetId="3" r:id="rId3"/>
  </sheets>
  <definedNames>
    <definedName name="_xlnm._FilterDatabase" localSheetId="0" hidden="1">Produtos!$A$4:$P$33</definedName>
  </definedNames>
  <calcPr calcId="181029"/>
</workbook>
</file>

<file path=xl/calcChain.xml><?xml version="1.0" encoding="utf-8"?>
<calcChain xmlns="http://schemas.openxmlformats.org/spreadsheetml/2006/main">
  <c r="B23" i="2" l="1"/>
  <c r="B8" i="2"/>
  <c r="B7" i="2"/>
  <c r="B6" i="2"/>
  <c r="M33" i="1"/>
  <c r="L33" i="1"/>
  <c r="K33" i="1"/>
  <c r="N33" i="1" s="1"/>
  <c r="L32" i="1"/>
  <c r="M32" i="1" s="1"/>
  <c r="K32" i="1"/>
  <c r="N32" i="1" s="1"/>
  <c r="M31" i="1"/>
  <c r="L31" i="1"/>
  <c r="K31" i="1"/>
  <c r="N31" i="1" s="1"/>
  <c r="L30" i="1"/>
  <c r="M30" i="1" s="1"/>
  <c r="K30" i="1"/>
  <c r="N30" i="1" s="1"/>
  <c r="M29" i="1"/>
  <c r="L29" i="1"/>
  <c r="K29" i="1"/>
  <c r="N29" i="1" s="1"/>
  <c r="M28" i="1"/>
  <c r="L28" i="1"/>
  <c r="K28" i="1"/>
  <c r="N28" i="1" s="1"/>
  <c r="L27" i="1"/>
  <c r="M27" i="1" s="1"/>
  <c r="K27" i="1"/>
  <c r="N27" i="1" s="1"/>
  <c r="L26" i="1"/>
  <c r="M26" i="1" s="1"/>
  <c r="K26" i="1"/>
  <c r="N26" i="1" s="1"/>
  <c r="M25" i="1"/>
  <c r="L25" i="1"/>
  <c r="K25" i="1"/>
  <c r="N25" i="1" s="1"/>
  <c r="L24" i="1"/>
  <c r="M24" i="1" s="1"/>
  <c r="K24" i="1"/>
  <c r="N24" i="1" s="1"/>
  <c r="M23" i="1"/>
  <c r="L23" i="1"/>
  <c r="K23" i="1"/>
  <c r="N23" i="1" s="1"/>
  <c r="L22" i="1"/>
  <c r="M22" i="1" s="1"/>
  <c r="K22" i="1"/>
  <c r="N22" i="1" s="1"/>
  <c r="M21" i="1"/>
  <c r="L21" i="1"/>
  <c r="K21" i="1"/>
  <c r="N21" i="1" s="1"/>
  <c r="M20" i="1"/>
  <c r="L20" i="1"/>
  <c r="K20" i="1"/>
  <c r="N20" i="1" s="1"/>
  <c r="L19" i="1"/>
  <c r="M19" i="1" s="1"/>
  <c r="K19" i="1"/>
  <c r="N19" i="1" s="1"/>
  <c r="L18" i="1"/>
  <c r="M18" i="1" s="1"/>
  <c r="K18" i="1"/>
  <c r="N18" i="1" s="1"/>
  <c r="M17" i="1"/>
  <c r="L17" i="1"/>
  <c r="K17" i="1"/>
  <c r="N17" i="1" s="1"/>
  <c r="L16" i="1"/>
  <c r="M16" i="1" s="1"/>
  <c r="K16" i="1"/>
  <c r="N16" i="1" s="1"/>
  <c r="M15" i="1"/>
  <c r="L15" i="1"/>
  <c r="K15" i="1"/>
  <c r="N15" i="1" s="1"/>
  <c r="L14" i="1"/>
  <c r="M14" i="1" s="1"/>
  <c r="K14" i="1"/>
  <c r="N14" i="1" s="1"/>
  <c r="M13" i="1"/>
  <c r="L13" i="1"/>
  <c r="K13" i="1"/>
  <c r="N13" i="1" s="1"/>
  <c r="M12" i="1"/>
  <c r="L12" i="1"/>
  <c r="K12" i="1"/>
  <c r="N12" i="1" s="1"/>
  <c r="L11" i="1"/>
  <c r="M11" i="1" s="1"/>
  <c r="K11" i="1"/>
  <c r="N11" i="1" s="1"/>
  <c r="L10" i="1"/>
  <c r="M10" i="1" s="1"/>
  <c r="K10" i="1"/>
  <c r="N10" i="1" s="1"/>
  <c r="M9" i="1"/>
  <c r="L9" i="1"/>
  <c r="K9" i="1"/>
  <c r="N9" i="1" s="1"/>
  <c r="L8" i="1"/>
  <c r="M8" i="1" s="1"/>
  <c r="K8" i="1"/>
  <c r="N8" i="1" s="1"/>
  <c r="M7" i="1"/>
  <c r="L7" i="1"/>
  <c r="K7" i="1"/>
  <c r="N7" i="1" s="1"/>
  <c r="L6" i="1"/>
  <c r="M6" i="1" s="1"/>
  <c r="K6" i="1"/>
  <c r="N6" i="1" s="1"/>
  <c r="M5" i="1"/>
  <c r="L5" i="1"/>
  <c r="B22" i="2" s="1"/>
  <c r="K5" i="1"/>
  <c r="N5" i="1" s="1"/>
  <c r="B24" i="2" l="1"/>
  <c r="B9" i="2"/>
  <c r="C7" i="2" s="1"/>
  <c r="C8" i="2"/>
  <c r="B17" i="2"/>
  <c r="C17" i="2" s="1"/>
  <c r="B13" i="2"/>
  <c r="C13" i="2" s="1"/>
  <c r="C6" i="2"/>
  <c r="B18" i="2"/>
  <c r="C18" i="2" s="1"/>
  <c r="B14" i="2"/>
  <c r="C14" i="2" s="1"/>
  <c r="B15" i="2"/>
  <c r="C15" i="2" s="1"/>
  <c r="B21" i="2"/>
  <c r="B16" i="2"/>
  <c r="C16" i="2" s="1"/>
  <c r="C9" i="2" l="1"/>
</calcChain>
</file>

<file path=xl/sharedStrings.xml><?xml version="1.0" encoding="utf-8"?>
<sst xmlns="http://schemas.openxmlformats.org/spreadsheetml/2006/main" count="273" uniqueCount="187">
  <si>
    <t>Casa do Boi FOS — Produtos, pesos e dimensões para envio</t>
  </si>
  <si>
    <t>Medidas do produto EMBALADO, pronto para postar. As células amarelas (peso e dimensões) estão preenchidas com ESTIMATIVAS — pese na balança e meça a caixa fechada, depois substitua o valor. As colunas cinzas se recalculam sozinhas.</t>
  </si>
  <si>
    <t>Código</t>
  </si>
  <si>
    <t>Produto</t>
  </si>
  <si>
    <t>Marca</t>
  </si>
  <si>
    <t>Departamento</t>
  </si>
  <si>
    <t>Unidade de venda</t>
  </si>
  <si>
    <t>Preço (R$)</t>
  </si>
  <si>
    <t>Peso bruto (kg)</t>
  </si>
  <si>
    <t>Comprimento (cm)</t>
  </si>
  <si>
    <t>Largura (cm)</t>
  </si>
  <si>
    <t>Altura (cm)</t>
  </si>
  <si>
    <t>Soma C+L+A (cm)</t>
  </si>
  <si>
    <t>Peso cubado (kg)</t>
  </si>
  <si>
    <t>Peso taxável (kg)</t>
  </si>
  <si>
    <t>Cabe nos Correios?</t>
  </si>
  <si>
    <t>Modalidade de envio</t>
  </si>
  <si>
    <t>Observação / restrição</t>
  </si>
  <si>
    <t>corrente-motosserra-16-polegadas</t>
  </si>
  <si>
    <t>Corrente para Motosserra 16 polegadas — 55 elos</t>
  </si>
  <si>
    <t>STIHL</t>
  </si>
  <si>
    <t>Máquinas e Ferramentas</t>
  </si>
  <si>
    <t>unidade</t>
  </si>
  <si>
    <t>Correios</t>
  </si>
  <si>
    <t>frasco-misturador-stihl-1l</t>
  </si>
  <si>
    <t>Frasco Misturador STIHL 1 Litro</t>
  </si>
  <si>
    <t>lavadora-alta-pressao-stihl-re-90</t>
  </si>
  <si>
    <t>Lavadora de Alta Pressão STIHL RE 90</t>
  </si>
  <si>
    <t>Lado de 85 cm: paga taxa de grande formato (acima de 70 cm).</t>
  </si>
  <si>
    <t>motosserra-stihl-ms-172</t>
  </si>
  <si>
    <t>Motosserra STIHL MS 172 Light 16 polegadas</t>
  </si>
  <si>
    <t>pulverizador-costal-20l</t>
  </si>
  <si>
    <t>Pulverizador Costal Manual 20 Litros</t>
  </si>
  <si>
    <t>Guarany</t>
  </si>
  <si>
    <t>Peso cubado (11,3 kg) manda no frete, não o peso real.</t>
  </si>
  <si>
    <t>rocadeira-stihl-fs-120</t>
  </si>
  <si>
    <t>Roçadeira Lateral STIHL FS 120</t>
  </si>
  <si>
    <t>Transportadora</t>
  </si>
  <si>
    <t>Caixa de 180 cm: excede o lado máximo de 100 cm dos Correios.</t>
  </si>
  <si>
    <t>soprador-bateria-stihl-bga-60</t>
  </si>
  <si>
    <t>Soprador a Bateria STIHL BGA 60</t>
  </si>
  <si>
    <t>oleo-2-tempos-stihl-8017h-500ml</t>
  </si>
  <si>
    <t>Óleo 2 Tempos STIHL Castrol 8017H 500 ml</t>
  </si>
  <si>
    <t>frasco</t>
  </si>
  <si>
    <t>Líquido: exigir embalagem com absorvente e lacre.</t>
  </si>
  <si>
    <t>cocho-plastico-500l</t>
  </si>
  <si>
    <t>Cocho Plástico para Sal 500 Litros</t>
  </si>
  <si>
    <t>Fortlev</t>
  </si>
  <si>
    <t>Suplemento e Ração</t>
  </si>
  <si>
    <t>Volume grande: só transportadora ou entrega própria.</t>
  </si>
  <si>
    <t>nucleo-proteico-seca-25kg</t>
  </si>
  <si>
    <t>Núcleo Proteico Energético Seca — Saco 25 kg</t>
  </si>
  <si>
    <t>Boi FOS</t>
  </si>
  <si>
    <t>saco 25 kg</t>
  </si>
  <si>
    <t>Cabe no limite, mas o frete pelos Correios inviabiliza o preço.</t>
  </si>
  <si>
    <t>racao-bezerro-inicial-40kg</t>
  </si>
  <si>
    <t>Ração Bezerro Inicial 18% — Saco 40 kg</t>
  </si>
  <si>
    <t>Nutriboi</t>
  </si>
  <si>
    <t>saco 40 kg</t>
  </si>
  <si>
    <t>40 kg: acima do limite de 30 kg.</t>
  </si>
  <si>
    <t>sal-branco-25kg</t>
  </si>
  <si>
    <t>Sal Branco Grosso Pecuário — Saco 25 kg</t>
  </si>
  <si>
    <t>Cimsal</t>
  </si>
  <si>
    <t>sal-mineral-boi-fos-70-30kg</t>
  </si>
  <si>
    <t>Sal Mineral Boi FOS 70 — Saco 30 kg</t>
  </si>
  <si>
    <t>saco 30 kg</t>
  </si>
  <si>
    <t>Saco de 30 kg estoura o limite de peso dos Correios.</t>
  </si>
  <si>
    <t>sal-mineral-boi-fos-90-30kg</t>
  </si>
  <si>
    <t>Sal Mineral Boi FOS 90 Reprodução — Saco 30 kg</t>
  </si>
  <si>
    <t>carrapaticida-pour-on-1l</t>
  </si>
  <si>
    <t>Carrapaticida Pour-On — 1 Litro</t>
  </si>
  <si>
    <t>MSD</t>
  </si>
  <si>
    <t>Veterinário</t>
  </si>
  <si>
    <t>Medicamento veterinário: confirmar aceitação e declarar conteúdo.</t>
  </si>
  <si>
    <t>seringa-veterinaria-50ml</t>
  </si>
  <si>
    <t>Seringa Veterinária Automática 50 ml</t>
  </si>
  <si>
    <t>Ideal</t>
  </si>
  <si>
    <t>vacina-aftosa-50-doses</t>
  </si>
  <si>
    <t>Vacina Contra Febre Aftosa — 50 doses</t>
  </si>
  <si>
    <t>Biogénesis</t>
  </si>
  <si>
    <t>Retirada na loja</t>
  </si>
  <si>
    <t>Cadeia fria de 2 °C a 8 °C: não pode ser postada.</t>
  </si>
  <si>
    <t>vermifugo-injetavel-ivermectina-500ml</t>
  </si>
  <si>
    <t>Vermífugo Injetável Ivermectina 1% — 500 ml</t>
  </si>
  <si>
    <t>Ourofino</t>
  </si>
  <si>
    <t>vitamina-ade-injetavel-500ml</t>
  </si>
  <si>
    <t>Vitamina ADE Injetável — 500 ml</t>
  </si>
  <si>
    <t>Vallée</t>
  </si>
  <si>
    <t>adubo-npk-20-05-20-50kg</t>
  </si>
  <si>
    <t>Adubo NPK 20-05-20 — Saco 50 kg</t>
  </si>
  <si>
    <t>Mosaic</t>
  </si>
  <si>
    <t>Cerca e Insumos</t>
  </si>
  <si>
    <t>saco 50 kg</t>
  </si>
  <si>
    <t>50 kg: acima do limite de 30 kg.</t>
  </si>
  <si>
    <t>arame-farpado-500m</t>
  </si>
  <si>
    <t>Arame Farpado 500 m</t>
  </si>
  <si>
    <t>Morlan</t>
  </si>
  <si>
    <t>rolo</t>
  </si>
  <si>
    <t>Rolo de 32 kg: acima do limite de 30 kg.</t>
  </si>
  <si>
    <t>arame-liso-galvanizado-1000m</t>
  </si>
  <si>
    <t>Arame Liso Galvanizado 2,7 mm — Rolo 1.000 m</t>
  </si>
  <si>
    <t>Gerdau</t>
  </si>
  <si>
    <t>Rolo de 45 kg: acima do limite de 30 kg.</t>
  </si>
  <si>
    <t>eletrificador-cerca-100km</t>
  </si>
  <si>
    <t>Eletrificador de Cerca Rural 100 km</t>
  </si>
  <si>
    <t>Zebu</t>
  </si>
  <si>
    <t>semente-brachiaria-brizantha-10kg</t>
  </si>
  <si>
    <t>Semente Brachiaria Brizantha Marandu — 10 kg</t>
  </si>
  <si>
    <t>Wolf Seeds</t>
  </si>
  <si>
    <t>saco 10 kg</t>
  </si>
  <si>
    <t>bota-couro-vaqueiro</t>
  </si>
  <si>
    <t>Bota de Couro Vaqueiro Cano Longo</t>
  </si>
  <si>
    <t>Vimar</t>
  </si>
  <si>
    <t>Vestuário e Selaria</t>
  </si>
  <si>
    <t>par</t>
  </si>
  <si>
    <t>cabresto-nylon-com-cabo</t>
  </si>
  <si>
    <t>Cabresto de Nylon com Cabo 3 m</t>
  </si>
  <si>
    <t>Boots Horse</t>
  </si>
  <si>
    <t>camisa-uv-campo-manga-longa</t>
  </si>
  <si>
    <t>Camisa de Campo Manga Longa UV 50+</t>
  </si>
  <si>
    <t>Country Work</t>
  </si>
  <si>
    <t>chapeu-palha-country</t>
  </si>
  <si>
    <t>Chapéu de Palha Country Aba 10 cm</t>
  </si>
  <si>
    <t>Pralana</t>
  </si>
  <si>
    <t>Leve e volumoso: o frete sai pelo peso cubado (5,3 kg).</t>
  </si>
  <si>
    <t>sela-australiana-couro</t>
  </si>
  <si>
    <t>Sela Australiana em Couro</t>
  </si>
  <si>
    <t>Selaria Campeira</t>
  </si>
  <si>
    <t>Cabe no limite, mas a cubagem de 21,7 kg torna o Correios caro demais.</t>
  </si>
  <si>
    <t>Como as colunas cinzas são calculadas:</t>
  </si>
  <si>
    <t>- Soma C+L+A = comprimento + largura + altura. Limite dos Correios: 200 cm.</t>
  </si>
  <si>
    <t>- Peso cubado = C x L x A / 6000 (medidas em cm). É o peso que o volume ocupa.</t>
  </si>
  <si>
    <t>- Peso taxável = o MAIOR entre o peso real e o cubado. É sobre ele que o frete é cobrado.</t>
  </si>
  <si>
    <t>- Cabe nos Correios? = NAO quando o peso passa de 30 kg, algum lado passa de 100 cm ou a soma passa de 200 cm.</t>
  </si>
  <si>
    <t>- Modalidade é decisão comercial: alguns itens cabem nos Correios, mas o frete inviabiliza a venda — esses vão como Transportadora.</t>
  </si>
  <si>
    <t>Perfil de postagem — resumo para negociar contrato com os Correios</t>
  </si>
  <si>
    <t>Tudo abaixo vem da aba Produtos e se atualiza quando você corrigir os pesos.</t>
  </si>
  <si>
    <t>Divisão do catálogo</t>
  </si>
  <si>
    <t>Modalidade</t>
  </si>
  <si>
    <t>Itens</t>
  </si>
  <si>
    <t>% do catálogo</t>
  </si>
  <si>
    <t>Total</t>
  </si>
  <si>
    <t>Faixas de peso taxável — só o que vai pelos Correios</t>
  </si>
  <si>
    <t>Faixa</t>
  </si>
  <si>
    <t>% dos itens Correios</t>
  </si>
  <si>
    <t>Até 1 kg</t>
  </si>
  <si>
    <t>Acima de 1 até 3 kg</t>
  </si>
  <si>
    <t>Acima de 3 até 5 kg</t>
  </si>
  <si>
    <t>Acima de 5 até 10 kg</t>
  </si>
  <si>
    <t>Acima de 10 até 20 kg</t>
  </si>
  <si>
    <t>Acima de 20 até 30 kg</t>
  </si>
  <si>
    <t>Números para a negociação</t>
  </si>
  <si>
    <t>Peso taxável médio dos itens Correios (kg)</t>
  </si>
  <si>
    <t>Itens em que a cubagem manda no frete</t>
  </si>
  <si>
    <t>Itens que pagam taxa de grande formato (algum lado acima de 70 cm)</t>
  </si>
  <si>
    <t>Peso total do catálogo Correios, se enviado tudo junto (kg)</t>
  </si>
  <si>
    <t>Limites de encomenda dos Correios (PAC / SEDEX)</t>
  </si>
  <si>
    <t>Verificado em 04/09/2026 nas fontes listadas no fim desta aba. Reconfirmar na agência antes de assinar contrato — os Correios revisam esses limites.</t>
  </si>
  <si>
    <t>Regra</t>
  </si>
  <si>
    <t>Valor</t>
  </si>
  <si>
    <t>O que significa na prática</t>
  </si>
  <si>
    <t>Peso máximo</t>
  </si>
  <si>
    <t>30 kg</t>
  </si>
  <si>
    <t>Acima disso os Correios não aceitam. Ração de 40 kg e adubo de 50 kg ficam de fora.</t>
  </si>
  <si>
    <t>Lado máximo</t>
  </si>
  <si>
    <t>100 cm</t>
  </si>
  <si>
    <t>Nenhuma das três medidas pode passar de 100 cm. É o que barra a roçadeira (caixa de 180 cm).</t>
  </si>
  <si>
    <t>Soma C+L+A máxima</t>
  </si>
  <si>
    <t>200 cm</t>
  </si>
  <si>
    <t>A soma das três medidas juntas.</t>
  </si>
  <si>
    <t>Caixa mínima</t>
  </si>
  <si>
    <t>15 x 10 x 1 cm</t>
  </si>
  <si>
    <t>Item pequeno precisa ir em caixa maior que o mínimo.</t>
  </si>
  <si>
    <t>Taxa de grande formato</t>
  </si>
  <si>
    <t>lado acima de 70 cm</t>
  </si>
  <si>
    <t>Ainda é aceito, mas encarece. Afeta a lavadora de alta pressão.</t>
  </si>
  <si>
    <t>Peso cubado</t>
  </si>
  <si>
    <t>C x L x A / 6000</t>
  </si>
  <si>
    <t>Volume convertido em peso. Item leve e grande paga pelo volume, não pelo peso.</t>
  </si>
  <si>
    <t>Peso taxável</t>
  </si>
  <si>
    <t>o maior entre real e cubado</t>
  </si>
  <si>
    <t>É a base do frete. O chapéu de palha pesa 0,45 kg e é cobrado como 5,3 kg.</t>
  </si>
  <si>
    <t>Fontes consultadas em 04/09/2026</t>
  </si>
  <si>
    <t>- Correios — Limites de dimensões de embalagens: https://www2.correios.com.br/sistemas/precosprazos/Formato.cfm</t>
  </si>
  <si>
    <t>- Correios — Envio de encomendas nacionais: https://www.correios.com.br/enviar/encomendas/nacional</t>
  </si>
  <si>
    <t>- Melhor Envio — Limite de peso nos Correios: https://melhorenvio.com.br/blog/frete-e-logistica/limite-de-peso-correios/</t>
  </si>
  <si>
    <t>- Loja Integrada — Dimensões máximas e mínimas dos Correios: https://ajuda.lojaintegrada.com.br/pt-BR/articles/6070497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</si>
</sst>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4"/>
      <color rgb="FF004020"/>
      <name val="Arial"/>
    </font>
    <font>
      <sz val="9"/>
      <color rgb="FF7F5F00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9C3400"/>
      <name val="Arial"/>
    </font>
    <font>
      <b/>
      <sz val="10"/>
      <color rgb="FF004020"/>
      <name val="Arial"/>
    </font>
    <font>
      <sz val="9"/>
      <color rgb="FF404040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b/>
      <sz val="11"/>
      <color rgb="FF00402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4020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4F0E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4" fontId="4" fillId="0" borderId="1" xfId="0" applyNumberFormat="1" applyFont="1" applyBorder="1" applyAlignment="1">
      <alignment horizontal="center" vertical="top"/>
    </xf>
    <xf numFmtId="4" fontId="4" fillId="3" borderId="1" xfId="0" applyNumberFormat="1" applyFont="1" applyFill="1" applyBorder="1" applyAlignment="1">
      <alignment horizontal="center" vertical="top"/>
    </xf>
    <xf numFmtId="3" fontId="4" fillId="3" borderId="1" xfId="0" applyNumberFormat="1" applyFont="1" applyFill="1" applyBorder="1" applyAlignment="1">
      <alignment horizontal="center" vertical="top"/>
    </xf>
    <xf numFmtId="3" fontId="4" fillId="4" borderId="1" xfId="0" applyNumberFormat="1" applyFont="1" applyFill="1" applyBorder="1" applyAlignment="1">
      <alignment horizontal="center" vertical="top"/>
    </xf>
    <xf numFmtId="4" fontId="4" fillId="4" borderId="1" xfId="0" applyNumberFormat="1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0" fillId="2" borderId="0" xfId="0" applyFill="1"/>
    <xf numFmtId="0" fontId="9" fillId="5" borderId="1" xfId="0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0" fontId="9" fillId="0" borderId="1" xfId="0" applyFont="1" applyBorder="1"/>
    <xf numFmtId="164" fontId="9" fillId="0" borderId="1" xfId="0" applyNumberFormat="1" applyFont="1" applyBorder="1"/>
    <xf numFmtId="4" fontId="4" fillId="0" borderId="1" xfId="0" applyNumberFormat="1" applyFont="1" applyBorder="1"/>
    <xf numFmtId="3" fontId="4" fillId="0" borderId="1" xfId="0" applyNumberFormat="1" applyFont="1" applyBorder="1"/>
    <xf numFmtId="0" fontId="2" fillId="0" borderId="0" xfId="0" applyFont="1"/>
    <xf numFmtId="0" fontId="3" fillId="2" borderId="1" xfId="0" applyFont="1" applyFill="1" applyBorder="1"/>
    <xf numFmtId="0" fontId="9" fillId="0" borderId="1" xfId="0" applyFont="1" applyBorder="1" applyAlignment="1">
      <alignment vertical="top"/>
    </xf>
    <xf numFmtId="0" fontId="10" fillId="0" borderId="0" xfId="0" applyFont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2" width="44" customWidth="1"/>
    <col min="3" max="3" width="14" customWidth="1"/>
    <col min="4" max="4" width="22" customWidth="1"/>
    <col min="5" max="5" width="16" customWidth="1"/>
    <col min="6" max="6" width="11" customWidth="1"/>
    <col min="7" max="7" width="13" customWidth="1"/>
    <col min="8" max="8" width="15" customWidth="1"/>
    <col min="9" max="9" width="12" customWidth="1"/>
    <col min="10" max="10" width="11" customWidth="1"/>
    <col min="11" max="11" width="14" customWidth="1"/>
    <col min="12" max="12" width="13" customWidth="1"/>
    <col min="13" max="13" width="14" customWidth="1"/>
    <col min="14" max="14" width="15" customWidth="1"/>
    <col min="15" max="15" width="18" customWidth="1"/>
    <col min="16" max="16" width="52" customWidth="1"/>
  </cols>
  <sheetData>
    <row r="1" spans="1:16" ht="18" x14ac:dyDescent="0.25">
      <c r="A1" s="1" t="s">
        <v>0</v>
      </c>
    </row>
    <row r="2" spans="1:16" ht="30" customHeight="1" x14ac:dyDescent="0.25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4" spans="1:16" ht="32.1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x14ac:dyDescent="0.25">
      <c r="A5" s="3" t="s">
        <v>18</v>
      </c>
      <c r="B5" s="4" t="s">
        <v>19</v>
      </c>
      <c r="C5" s="3" t="s">
        <v>20</v>
      </c>
      <c r="D5" s="3" t="s">
        <v>21</v>
      </c>
      <c r="E5" s="3" t="s">
        <v>22</v>
      </c>
      <c r="F5" s="5">
        <v>189.9</v>
      </c>
      <c r="G5" s="6">
        <v>0.75</v>
      </c>
      <c r="H5" s="7">
        <v>20</v>
      </c>
      <c r="I5" s="7">
        <v>15</v>
      </c>
      <c r="J5" s="7">
        <v>5</v>
      </c>
      <c r="K5" s="8">
        <f t="shared" ref="K5:K33" si="0">H5+I5+J5</f>
        <v>40</v>
      </c>
      <c r="L5" s="9">
        <f t="shared" ref="L5:L33" si="1">ROUND(H5*I5*J5/6000,2)</f>
        <v>0.25</v>
      </c>
      <c r="M5" s="9">
        <f t="shared" ref="M5:M33" si="2">ROUND(MAX(G5,L5),2)</f>
        <v>0.75</v>
      </c>
      <c r="N5" s="10" t="str">
        <f t="shared" ref="N5:N33" si="3">IF(OR(G5&gt;30,MAX(H5,I5,J5)&gt;100,K5&gt;200),"NAO","SIM")</f>
        <v>SIM</v>
      </c>
      <c r="O5" s="3" t="s">
        <v>23</v>
      </c>
      <c r="P5" s="4"/>
    </row>
    <row r="6" spans="1:16" x14ac:dyDescent="0.25">
      <c r="A6" s="3" t="s">
        <v>24</v>
      </c>
      <c r="B6" s="4" t="s">
        <v>25</v>
      </c>
      <c r="C6" s="3" t="s">
        <v>20</v>
      </c>
      <c r="D6" s="3" t="s">
        <v>21</v>
      </c>
      <c r="E6" s="3" t="s">
        <v>22</v>
      </c>
      <c r="F6" s="5">
        <v>59.9</v>
      </c>
      <c r="G6" s="6">
        <v>0.25</v>
      </c>
      <c r="H6" s="7">
        <v>28</v>
      </c>
      <c r="I6" s="7">
        <v>12</v>
      </c>
      <c r="J6" s="7">
        <v>10</v>
      </c>
      <c r="K6" s="8">
        <f t="shared" si="0"/>
        <v>50</v>
      </c>
      <c r="L6" s="9">
        <f t="shared" si="1"/>
        <v>0.56000000000000005</v>
      </c>
      <c r="M6" s="9">
        <f t="shared" si="2"/>
        <v>0.56000000000000005</v>
      </c>
      <c r="N6" s="10" t="str">
        <f t="shared" si="3"/>
        <v>SIM</v>
      </c>
      <c r="O6" s="3" t="s">
        <v>23</v>
      </c>
      <c r="P6" s="4"/>
    </row>
    <row r="7" spans="1:16" ht="25.5" x14ac:dyDescent="0.25">
      <c r="A7" s="3" t="s">
        <v>26</v>
      </c>
      <c r="B7" s="4" t="s">
        <v>27</v>
      </c>
      <c r="C7" s="3" t="s">
        <v>20</v>
      </c>
      <c r="D7" s="3" t="s">
        <v>21</v>
      </c>
      <c r="E7" s="3" t="s">
        <v>22</v>
      </c>
      <c r="F7" s="5">
        <v>1199</v>
      </c>
      <c r="G7" s="6">
        <v>11.5</v>
      </c>
      <c r="H7" s="7">
        <v>40</v>
      </c>
      <c r="I7" s="7">
        <v>35</v>
      </c>
      <c r="J7" s="7">
        <v>85</v>
      </c>
      <c r="K7" s="8">
        <f t="shared" si="0"/>
        <v>160</v>
      </c>
      <c r="L7" s="9">
        <f t="shared" si="1"/>
        <v>19.829999999999998</v>
      </c>
      <c r="M7" s="9">
        <f t="shared" si="2"/>
        <v>19.829999999999998</v>
      </c>
      <c r="N7" s="10" t="str">
        <f t="shared" si="3"/>
        <v>SIM</v>
      </c>
      <c r="O7" s="3" t="s">
        <v>23</v>
      </c>
      <c r="P7" s="4" t="s">
        <v>28</v>
      </c>
    </row>
    <row r="8" spans="1:16" x14ac:dyDescent="0.25">
      <c r="A8" s="3" t="s">
        <v>29</v>
      </c>
      <c r="B8" s="4" t="s">
        <v>30</v>
      </c>
      <c r="C8" s="3" t="s">
        <v>20</v>
      </c>
      <c r="D8" s="3" t="s">
        <v>21</v>
      </c>
      <c r="E8" s="3" t="s">
        <v>22</v>
      </c>
      <c r="F8" s="5">
        <v>2199</v>
      </c>
      <c r="G8" s="6">
        <v>6.5</v>
      </c>
      <c r="H8" s="7">
        <v>46</v>
      </c>
      <c r="I8" s="7">
        <v>30</v>
      </c>
      <c r="J8" s="7">
        <v>27</v>
      </c>
      <c r="K8" s="8">
        <f t="shared" si="0"/>
        <v>103</v>
      </c>
      <c r="L8" s="9">
        <f t="shared" si="1"/>
        <v>6.21</v>
      </c>
      <c r="M8" s="9">
        <f t="shared" si="2"/>
        <v>6.5</v>
      </c>
      <c r="N8" s="10" t="str">
        <f t="shared" si="3"/>
        <v>SIM</v>
      </c>
      <c r="O8" s="3" t="s">
        <v>23</v>
      </c>
      <c r="P8" s="4"/>
    </row>
    <row r="9" spans="1:16" x14ac:dyDescent="0.25">
      <c r="A9" s="3" t="s">
        <v>31</v>
      </c>
      <c r="B9" s="4" t="s">
        <v>32</v>
      </c>
      <c r="C9" s="3" t="s">
        <v>33</v>
      </c>
      <c r="D9" s="3" t="s">
        <v>21</v>
      </c>
      <c r="E9" s="3" t="s">
        <v>22</v>
      </c>
      <c r="F9" s="5">
        <v>329.9</v>
      </c>
      <c r="G9" s="6">
        <v>5</v>
      </c>
      <c r="H9" s="7">
        <v>60</v>
      </c>
      <c r="I9" s="7">
        <v>45</v>
      </c>
      <c r="J9" s="7">
        <v>25</v>
      </c>
      <c r="K9" s="8">
        <f t="shared" si="0"/>
        <v>130</v>
      </c>
      <c r="L9" s="9">
        <f t="shared" si="1"/>
        <v>11.25</v>
      </c>
      <c r="M9" s="9">
        <f t="shared" si="2"/>
        <v>11.25</v>
      </c>
      <c r="N9" s="10" t="str">
        <f t="shared" si="3"/>
        <v>SIM</v>
      </c>
      <c r="O9" s="3" t="s">
        <v>23</v>
      </c>
      <c r="P9" s="4" t="s">
        <v>34</v>
      </c>
    </row>
    <row r="10" spans="1:16" ht="25.5" x14ac:dyDescent="0.25">
      <c r="A10" s="3" t="s">
        <v>35</v>
      </c>
      <c r="B10" s="4" t="s">
        <v>36</v>
      </c>
      <c r="C10" s="3" t="s">
        <v>20</v>
      </c>
      <c r="D10" s="3" t="s">
        <v>21</v>
      </c>
      <c r="E10" s="3" t="s">
        <v>22</v>
      </c>
      <c r="F10" s="5">
        <v>3890</v>
      </c>
      <c r="G10" s="6">
        <v>9.5</v>
      </c>
      <c r="H10" s="7">
        <v>180</v>
      </c>
      <c r="I10" s="7">
        <v>30</v>
      </c>
      <c r="J10" s="7">
        <v>25</v>
      </c>
      <c r="K10" s="8">
        <f t="shared" si="0"/>
        <v>235</v>
      </c>
      <c r="L10" s="9">
        <f t="shared" si="1"/>
        <v>22.5</v>
      </c>
      <c r="M10" s="9">
        <f t="shared" si="2"/>
        <v>22.5</v>
      </c>
      <c r="N10" s="10" t="str">
        <f t="shared" si="3"/>
        <v>NAO</v>
      </c>
      <c r="O10" s="11" t="s">
        <v>37</v>
      </c>
      <c r="P10" s="4" t="s">
        <v>38</v>
      </c>
    </row>
    <row r="11" spans="1:16" x14ac:dyDescent="0.25">
      <c r="A11" s="3" t="s">
        <v>39</v>
      </c>
      <c r="B11" s="4" t="s">
        <v>40</v>
      </c>
      <c r="C11" s="3" t="s">
        <v>20</v>
      </c>
      <c r="D11" s="3" t="s">
        <v>21</v>
      </c>
      <c r="E11" s="3" t="s">
        <v>22</v>
      </c>
      <c r="F11" s="5">
        <v>1690</v>
      </c>
      <c r="G11" s="6">
        <v>3.5</v>
      </c>
      <c r="H11" s="7">
        <v>55</v>
      </c>
      <c r="I11" s="7">
        <v>28</v>
      </c>
      <c r="J11" s="7">
        <v>30</v>
      </c>
      <c r="K11" s="8">
        <f t="shared" si="0"/>
        <v>113</v>
      </c>
      <c r="L11" s="9">
        <f t="shared" si="1"/>
        <v>7.7</v>
      </c>
      <c r="M11" s="9">
        <f t="shared" si="2"/>
        <v>7.7</v>
      </c>
      <c r="N11" s="10" t="str">
        <f t="shared" si="3"/>
        <v>SIM</v>
      </c>
      <c r="O11" s="3" t="s">
        <v>23</v>
      </c>
      <c r="P11" s="4"/>
    </row>
    <row r="12" spans="1:16" x14ac:dyDescent="0.25">
      <c r="A12" s="3" t="s">
        <v>41</v>
      </c>
      <c r="B12" s="4" t="s">
        <v>42</v>
      </c>
      <c r="C12" s="3" t="s">
        <v>20</v>
      </c>
      <c r="D12" s="3" t="s">
        <v>21</v>
      </c>
      <c r="E12" s="3" t="s">
        <v>43</v>
      </c>
      <c r="F12" s="5">
        <v>79.900000000000006</v>
      </c>
      <c r="G12" s="6">
        <v>0.6</v>
      </c>
      <c r="H12" s="7">
        <v>20</v>
      </c>
      <c r="I12" s="7">
        <v>10</v>
      </c>
      <c r="J12" s="7">
        <v>8</v>
      </c>
      <c r="K12" s="8">
        <f t="shared" si="0"/>
        <v>38</v>
      </c>
      <c r="L12" s="9">
        <f t="shared" si="1"/>
        <v>0.27</v>
      </c>
      <c r="M12" s="9">
        <f t="shared" si="2"/>
        <v>0.6</v>
      </c>
      <c r="N12" s="10" t="str">
        <f t="shared" si="3"/>
        <v>SIM</v>
      </c>
      <c r="O12" s="3" t="s">
        <v>23</v>
      </c>
      <c r="P12" s="4" t="s">
        <v>44</v>
      </c>
    </row>
    <row r="13" spans="1:16" x14ac:dyDescent="0.25">
      <c r="A13" s="3" t="s">
        <v>45</v>
      </c>
      <c r="B13" s="4" t="s">
        <v>46</v>
      </c>
      <c r="C13" s="3" t="s">
        <v>47</v>
      </c>
      <c r="D13" s="3" t="s">
        <v>48</v>
      </c>
      <c r="E13" s="3" t="s">
        <v>22</v>
      </c>
      <c r="F13" s="5">
        <v>1290</v>
      </c>
      <c r="G13" s="6">
        <v>45</v>
      </c>
      <c r="H13" s="7">
        <v>200</v>
      </c>
      <c r="I13" s="7">
        <v>120</v>
      </c>
      <c r="J13" s="7">
        <v>90</v>
      </c>
      <c r="K13" s="8">
        <f t="shared" si="0"/>
        <v>410</v>
      </c>
      <c r="L13" s="9">
        <f t="shared" si="1"/>
        <v>360</v>
      </c>
      <c r="M13" s="9">
        <f t="shared" si="2"/>
        <v>360</v>
      </c>
      <c r="N13" s="10" t="str">
        <f t="shared" si="3"/>
        <v>NAO</v>
      </c>
      <c r="O13" s="11" t="s">
        <v>37</v>
      </c>
      <c r="P13" s="4" t="s">
        <v>49</v>
      </c>
    </row>
    <row r="14" spans="1:16" ht="25.5" x14ac:dyDescent="0.25">
      <c r="A14" s="3" t="s">
        <v>50</v>
      </c>
      <c r="B14" s="4" t="s">
        <v>51</v>
      </c>
      <c r="C14" s="3" t="s">
        <v>52</v>
      </c>
      <c r="D14" s="3" t="s">
        <v>48</v>
      </c>
      <c r="E14" s="3" t="s">
        <v>53</v>
      </c>
      <c r="F14" s="5">
        <v>174.9</v>
      </c>
      <c r="G14" s="6">
        <v>25.5</v>
      </c>
      <c r="H14" s="7">
        <v>60</v>
      </c>
      <c r="I14" s="7">
        <v>40</v>
      </c>
      <c r="J14" s="7">
        <v>15</v>
      </c>
      <c r="K14" s="8">
        <f t="shared" si="0"/>
        <v>115</v>
      </c>
      <c r="L14" s="9">
        <f t="shared" si="1"/>
        <v>6</v>
      </c>
      <c r="M14" s="9">
        <f t="shared" si="2"/>
        <v>25.5</v>
      </c>
      <c r="N14" s="10" t="str">
        <f t="shared" si="3"/>
        <v>SIM</v>
      </c>
      <c r="O14" s="11" t="s">
        <v>37</v>
      </c>
      <c r="P14" s="4" t="s">
        <v>54</v>
      </c>
    </row>
    <row r="15" spans="1:16" x14ac:dyDescent="0.25">
      <c r="A15" s="3" t="s">
        <v>55</v>
      </c>
      <c r="B15" s="4" t="s">
        <v>56</v>
      </c>
      <c r="C15" s="3" t="s">
        <v>57</v>
      </c>
      <c r="D15" s="3" t="s">
        <v>48</v>
      </c>
      <c r="E15" s="3" t="s">
        <v>58</v>
      </c>
      <c r="F15" s="5">
        <v>132</v>
      </c>
      <c r="G15" s="6">
        <v>40.5</v>
      </c>
      <c r="H15" s="7">
        <v>70</v>
      </c>
      <c r="I15" s="7">
        <v>45</v>
      </c>
      <c r="J15" s="7">
        <v>20</v>
      </c>
      <c r="K15" s="8">
        <f t="shared" si="0"/>
        <v>135</v>
      </c>
      <c r="L15" s="9">
        <f t="shared" si="1"/>
        <v>10.5</v>
      </c>
      <c r="M15" s="9">
        <f t="shared" si="2"/>
        <v>40.5</v>
      </c>
      <c r="N15" s="10" t="str">
        <f t="shared" si="3"/>
        <v>NAO</v>
      </c>
      <c r="O15" s="11" t="s">
        <v>37</v>
      </c>
      <c r="P15" s="4" t="s">
        <v>59</v>
      </c>
    </row>
    <row r="16" spans="1:16" ht="25.5" x14ac:dyDescent="0.25">
      <c r="A16" s="3" t="s">
        <v>60</v>
      </c>
      <c r="B16" s="4" t="s">
        <v>61</v>
      </c>
      <c r="C16" s="3" t="s">
        <v>62</v>
      </c>
      <c r="D16" s="3" t="s">
        <v>48</v>
      </c>
      <c r="E16" s="3" t="s">
        <v>53</v>
      </c>
      <c r="F16" s="5">
        <v>42.9</v>
      </c>
      <c r="G16" s="6">
        <v>25.5</v>
      </c>
      <c r="H16" s="7">
        <v>55</v>
      </c>
      <c r="I16" s="7">
        <v>38</v>
      </c>
      <c r="J16" s="7">
        <v>15</v>
      </c>
      <c r="K16" s="8">
        <f t="shared" si="0"/>
        <v>108</v>
      </c>
      <c r="L16" s="9">
        <f t="shared" si="1"/>
        <v>5.23</v>
      </c>
      <c r="M16" s="9">
        <f t="shared" si="2"/>
        <v>25.5</v>
      </c>
      <c r="N16" s="10" t="str">
        <f t="shared" si="3"/>
        <v>SIM</v>
      </c>
      <c r="O16" s="11" t="s">
        <v>37</v>
      </c>
      <c r="P16" s="4" t="s">
        <v>54</v>
      </c>
    </row>
    <row r="17" spans="1:16" x14ac:dyDescent="0.25">
      <c r="A17" s="3" t="s">
        <v>63</v>
      </c>
      <c r="B17" s="4" t="s">
        <v>64</v>
      </c>
      <c r="C17" s="3" t="s">
        <v>52</v>
      </c>
      <c r="D17" s="3" t="s">
        <v>48</v>
      </c>
      <c r="E17" s="3" t="s">
        <v>65</v>
      </c>
      <c r="F17" s="5">
        <v>149.9</v>
      </c>
      <c r="G17" s="6">
        <v>30.5</v>
      </c>
      <c r="H17" s="7">
        <v>60</v>
      </c>
      <c r="I17" s="7">
        <v>40</v>
      </c>
      <c r="J17" s="7">
        <v>18</v>
      </c>
      <c r="K17" s="8">
        <f t="shared" si="0"/>
        <v>118</v>
      </c>
      <c r="L17" s="9">
        <f t="shared" si="1"/>
        <v>7.2</v>
      </c>
      <c r="M17" s="9">
        <f t="shared" si="2"/>
        <v>30.5</v>
      </c>
      <c r="N17" s="10" t="str">
        <f t="shared" si="3"/>
        <v>NAO</v>
      </c>
      <c r="O17" s="11" t="s">
        <v>37</v>
      </c>
      <c r="P17" s="4" t="s">
        <v>66</v>
      </c>
    </row>
    <row r="18" spans="1:16" ht="25.5" x14ac:dyDescent="0.25">
      <c r="A18" s="3" t="s">
        <v>67</v>
      </c>
      <c r="B18" s="4" t="s">
        <v>68</v>
      </c>
      <c r="C18" s="3" t="s">
        <v>52</v>
      </c>
      <c r="D18" s="3" t="s">
        <v>48</v>
      </c>
      <c r="E18" s="3" t="s">
        <v>65</v>
      </c>
      <c r="F18" s="5">
        <v>189.9</v>
      </c>
      <c r="G18" s="6">
        <v>30.5</v>
      </c>
      <c r="H18" s="7">
        <v>60</v>
      </c>
      <c r="I18" s="7">
        <v>40</v>
      </c>
      <c r="J18" s="7">
        <v>18</v>
      </c>
      <c r="K18" s="8">
        <f t="shared" si="0"/>
        <v>118</v>
      </c>
      <c r="L18" s="9">
        <f t="shared" si="1"/>
        <v>7.2</v>
      </c>
      <c r="M18" s="9">
        <f t="shared" si="2"/>
        <v>30.5</v>
      </c>
      <c r="N18" s="10" t="str">
        <f t="shared" si="3"/>
        <v>NAO</v>
      </c>
      <c r="O18" s="11" t="s">
        <v>37</v>
      </c>
      <c r="P18" s="4" t="s">
        <v>66</v>
      </c>
    </row>
    <row r="19" spans="1:16" ht="25.5" x14ac:dyDescent="0.25">
      <c r="A19" s="3" t="s">
        <v>69</v>
      </c>
      <c r="B19" s="4" t="s">
        <v>70</v>
      </c>
      <c r="C19" s="3" t="s">
        <v>71</v>
      </c>
      <c r="D19" s="3" t="s">
        <v>72</v>
      </c>
      <c r="E19" s="3" t="s">
        <v>43</v>
      </c>
      <c r="F19" s="5">
        <v>289.89999999999998</v>
      </c>
      <c r="G19" s="6">
        <v>1.25</v>
      </c>
      <c r="H19" s="7">
        <v>26</v>
      </c>
      <c r="I19" s="7">
        <v>12</v>
      </c>
      <c r="J19" s="7">
        <v>12</v>
      </c>
      <c r="K19" s="8">
        <f t="shared" si="0"/>
        <v>50</v>
      </c>
      <c r="L19" s="9">
        <f t="shared" si="1"/>
        <v>0.62</v>
      </c>
      <c r="M19" s="9">
        <f t="shared" si="2"/>
        <v>1.25</v>
      </c>
      <c r="N19" s="10" t="str">
        <f t="shared" si="3"/>
        <v>SIM</v>
      </c>
      <c r="O19" s="3" t="s">
        <v>23</v>
      </c>
      <c r="P19" s="4" t="s">
        <v>73</v>
      </c>
    </row>
    <row r="20" spans="1:16" x14ac:dyDescent="0.25">
      <c r="A20" s="3" t="s">
        <v>74</v>
      </c>
      <c r="B20" s="4" t="s">
        <v>75</v>
      </c>
      <c r="C20" s="3" t="s">
        <v>76</v>
      </c>
      <c r="D20" s="3" t="s">
        <v>72</v>
      </c>
      <c r="E20" s="3" t="s">
        <v>22</v>
      </c>
      <c r="F20" s="5">
        <v>289</v>
      </c>
      <c r="G20" s="6">
        <v>0.55000000000000004</v>
      </c>
      <c r="H20" s="7">
        <v>32</v>
      </c>
      <c r="I20" s="7">
        <v>12</v>
      </c>
      <c r="J20" s="7">
        <v>8</v>
      </c>
      <c r="K20" s="8">
        <f t="shared" si="0"/>
        <v>52</v>
      </c>
      <c r="L20" s="9">
        <f t="shared" si="1"/>
        <v>0.51</v>
      </c>
      <c r="M20" s="9">
        <f t="shared" si="2"/>
        <v>0.55000000000000004</v>
      </c>
      <c r="N20" s="10" t="str">
        <f t="shared" si="3"/>
        <v>SIM</v>
      </c>
      <c r="O20" s="3" t="s">
        <v>23</v>
      </c>
      <c r="P20" s="4"/>
    </row>
    <row r="21" spans="1:16" x14ac:dyDescent="0.25">
      <c r="A21" s="3" t="s">
        <v>77</v>
      </c>
      <c r="B21" s="4" t="s">
        <v>78</v>
      </c>
      <c r="C21" s="3" t="s">
        <v>79</v>
      </c>
      <c r="D21" s="3" t="s">
        <v>72</v>
      </c>
      <c r="E21" s="3" t="s">
        <v>43</v>
      </c>
      <c r="F21" s="5">
        <v>279.89999999999998</v>
      </c>
      <c r="G21" s="6">
        <v>1.5</v>
      </c>
      <c r="H21" s="7">
        <v>25</v>
      </c>
      <c r="I21" s="7">
        <v>20</v>
      </c>
      <c r="J21" s="7">
        <v>20</v>
      </c>
      <c r="K21" s="8">
        <f t="shared" si="0"/>
        <v>65</v>
      </c>
      <c r="L21" s="9">
        <f t="shared" si="1"/>
        <v>1.67</v>
      </c>
      <c r="M21" s="9">
        <f t="shared" si="2"/>
        <v>1.67</v>
      </c>
      <c r="N21" s="10" t="str">
        <f t="shared" si="3"/>
        <v>SIM</v>
      </c>
      <c r="O21" s="11" t="s">
        <v>80</v>
      </c>
      <c r="P21" s="4" t="s">
        <v>81</v>
      </c>
    </row>
    <row r="22" spans="1:16" ht="25.5" x14ac:dyDescent="0.25">
      <c r="A22" s="3" t="s">
        <v>82</v>
      </c>
      <c r="B22" s="4" t="s">
        <v>83</v>
      </c>
      <c r="C22" s="3" t="s">
        <v>84</v>
      </c>
      <c r="D22" s="3" t="s">
        <v>72</v>
      </c>
      <c r="E22" s="3" t="s">
        <v>43</v>
      </c>
      <c r="F22" s="5">
        <v>219.9</v>
      </c>
      <c r="G22" s="6">
        <v>0.7</v>
      </c>
      <c r="H22" s="7">
        <v>22</v>
      </c>
      <c r="I22" s="7">
        <v>10</v>
      </c>
      <c r="J22" s="7">
        <v>10</v>
      </c>
      <c r="K22" s="8">
        <f t="shared" si="0"/>
        <v>42</v>
      </c>
      <c r="L22" s="9">
        <f t="shared" si="1"/>
        <v>0.37</v>
      </c>
      <c r="M22" s="9">
        <f t="shared" si="2"/>
        <v>0.7</v>
      </c>
      <c r="N22" s="10" t="str">
        <f t="shared" si="3"/>
        <v>SIM</v>
      </c>
      <c r="O22" s="3" t="s">
        <v>23</v>
      </c>
      <c r="P22" s="4" t="s">
        <v>73</v>
      </c>
    </row>
    <row r="23" spans="1:16" ht="25.5" x14ac:dyDescent="0.25">
      <c r="A23" s="3" t="s">
        <v>85</v>
      </c>
      <c r="B23" s="4" t="s">
        <v>86</v>
      </c>
      <c r="C23" s="3" t="s">
        <v>87</v>
      </c>
      <c r="D23" s="3" t="s">
        <v>72</v>
      </c>
      <c r="E23" s="3" t="s">
        <v>43</v>
      </c>
      <c r="F23" s="5">
        <v>159.9</v>
      </c>
      <c r="G23" s="6">
        <v>0.7</v>
      </c>
      <c r="H23" s="7">
        <v>22</v>
      </c>
      <c r="I23" s="7">
        <v>10</v>
      </c>
      <c r="J23" s="7">
        <v>10</v>
      </c>
      <c r="K23" s="8">
        <f t="shared" si="0"/>
        <v>42</v>
      </c>
      <c r="L23" s="9">
        <f t="shared" si="1"/>
        <v>0.37</v>
      </c>
      <c r="M23" s="9">
        <f t="shared" si="2"/>
        <v>0.7</v>
      </c>
      <c r="N23" s="10" t="str">
        <f t="shared" si="3"/>
        <v>SIM</v>
      </c>
      <c r="O23" s="3" t="s">
        <v>23</v>
      </c>
      <c r="P23" s="4" t="s">
        <v>73</v>
      </c>
    </row>
    <row r="24" spans="1:16" x14ac:dyDescent="0.25">
      <c r="A24" s="3" t="s">
        <v>88</v>
      </c>
      <c r="B24" s="4" t="s">
        <v>89</v>
      </c>
      <c r="C24" s="3" t="s">
        <v>90</v>
      </c>
      <c r="D24" s="3" t="s">
        <v>91</v>
      </c>
      <c r="E24" s="3" t="s">
        <v>92</v>
      </c>
      <c r="F24" s="5">
        <v>209.9</v>
      </c>
      <c r="G24" s="6">
        <v>50.5</v>
      </c>
      <c r="H24" s="7">
        <v>70</v>
      </c>
      <c r="I24" s="7">
        <v>45</v>
      </c>
      <c r="J24" s="7">
        <v>22</v>
      </c>
      <c r="K24" s="8">
        <f t="shared" si="0"/>
        <v>137</v>
      </c>
      <c r="L24" s="9">
        <f t="shared" si="1"/>
        <v>11.55</v>
      </c>
      <c r="M24" s="9">
        <f t="shared" si="2"/>
        <v>50.5</v>
      </c>
      <c r="N24" s="10" t="str">
        <f t="shared" si="3"/>
        <v>NAO</v>
      </c>
      <c r="O24" s="11" t="s">
        <v>37</v>
      </c>
      <c r="P24" s="4" t="s">
        <v>93</v>
      </c>
    </row>
    <row r="25" spans="1:16" x14ac:dyDescent="0.25">
      <c r="A25" s="3" t="s">
        <v>94</v>
      </c>
      <c r="B25" s="4" t="s">
        <v>95</v>
      </c>
      <c r="C25" s="3" t="s">
        <v>96</v>
      </c>
      <c r="D25" s="3" t="s">
        <v>91</v>
      </c>
      <c r="E25" s="3" t="s">
        <v>97</v>
      </c>
      <c r="F25" s="5">
        <v>529.9</v>
      </c>
      <c r="G25" s="6">
        <v>32</v>
      </c>
      <c r="H25" s="7">
        <v>40</v>
      </c>
      <c r="I25" s="7">
        <v>40</v>
      </c>
      <c r="J25" s="7">
        <v>20</v>
      </c>
      <c r="K25" s="8">
        <f t="shared" si="0"/>
        <v>100</v>
      </c>
      <c r="L25" s="9">
        <f t="shared" si="1"/>
        <v>5.33</v>
      </c>
      <c r="M25" s="9">
        <f t="shared" si="2"/>
        <v>32</v>
      </c>
      <c r="N25" s="10" t="str">
        <f t="shared" si="3"/>
        <v>NAO</v>
      </c>
      <c r="O25" s="11" t="s">
        <v>37</v>
      </c>
      <c r="P25" s="4" t="s">
        <v>98</v>
      </c>
    </row>
    <row r="26" spans="1:16" x14ac:dyDescent="0.25">
      <c r="A26" s="3" t="s">
        <v>99</v>
      </c>
      <c r="B26" s="4" t="s">
        <v>100</v>
      </c>
      <c r="C26" s="3" t="s">
        <v>101</v>
      </c>
      <c r="D26" s="3" t="s">
        <v>91</v>
      </c>
      <c r="E26" s="3" t="s">
        <v>97</v>
      </c>
      <c r="F26" s="5">
        <v>649.9</v>
      </c>
      <c r="G26" s="6">
        <v>45</v>
      </c>
      <c r="H26" s="7">
        <v>45</v>
      </c>
      <c r="I26" s="7">
        <v>45</v>
      </c>
      <c r="J26" s="7">
        <v>20</v>
      </c>
      <c r="K26" s="8">
        <f t="shared" si="0"/>
        <v>110</v>
      </c>
      <c r="L26" s="9">
        <f t="shared" si="1"/>
        <v>6.75</v>
      </c>
      <c r="M26" s="9">
        <f t="shared" si="2"/>
        <v>45</v>
      </c>
      <c r="N26" s="10" t="str">
        <f t="shared" si="3"/>
        <v>NAO</v>
      </c>
      <c r="O26" s="11" t="s">
        <v>37</v>
      </c>
      <c r="P26" s="4" t="s">
        <v>102</v>
      </c>
    </row>
    <row r="27" spans="1:16" x14ac:dyDescent="0.25">
      <c r="A27" s="3" t="s">
        <v>103</v>
      </c>
      <c r="B27" s="4" t="s">
        <v>104</v>
      </c>
      <c r="C27" s="3" t="s">
        <v>105</v>
      </c>
      <c r="D27" s="3" t="s">
        <v>91</v>
      </c>
      <c r="E27" s="3" t="s">
        <v>22</v>
      </c>
      <c r="F27" s="5">
        <v>1149</v>
      </c>
      <c r="G27" s="6">
        <v>2.6</v>
      </c>
      <c r="H27" s="7">
        <v>30</v>
      </c>
      <c r="I27" s="7">
        <v>25</v>
      </c>
      <c r="J27" s="7">
        <v>15</v>
      </c>
      <c r="K27" s="8">
        <f t="shared" si="0"/>
        <v>70</v>
      </c>
      <c r="L27" s="9">
        <f t="shared" si="1"/>
        <v>1.88</v>
      </c>
      <c r="M27" s="9">
        <f t="shared" si="2"/>
        <v>2.6</v>
      </c>
      <c r="N27" s="10" t="str">
        <f t="shared" si="3"/>
        <v>SIM</v>
      </c>
      <c r="O27" s="3" t="s">
        <v>23</v>
      </c>
      <c r="P27" s="4"/>
    </row>
    <row r="28" spans="1:16" x14ac:dyDescent="0.25">
      <c r="A28" s="3" t="s">
        <v>106</v>
      </c>
      <c r="B28" s="4" t="s">
        <v>107</v>
      </c>
      <c r="C28" s="3" t="s">
        <v>108</v>
      </c>
      <c r="D28" s="3" t="s">
        <v>91</v>
      </c>
      <c r="E28" s="3" t="s">
        <v>109</v>
      </c>
      <c r="F28" s="5">
        <v>389.9</v>
      </c>
      <c r="G28" s="6">
        <v>10.3</v>
      </c>
      <c r="H28" s="7">
        <v>45</v>
      </c>
      <c r="I28" s="7">
        <v>30</v>
      </c>
      <c r="J28" s="7">
        <v>12</v>
      </c>
      <c r="K28" s="8">
        <f t="shared" si="0"/>
        <v>87</v>
      </c>
      <c r="L28" s="9">
        <f t="shared" si="1"/>
        <v>2.7</v>
      </c>
      <c r="M28" s="9">
        <f t="shared" si="2"/>
        <v>10.3</v>
      </c>
      <c r="N28" s="10" t="str">
        <f t="shared" si="3"/>
        <v>SIM</v>
      </c>
      <c r="O28" s="3" t="s">
        <v>23</v>
      </c>
      <c r="P28" s="4"/>
    </row>
    <row r="29" spans="1:16" x14ac:dyDescent="0.25">
      <c r="A29" s="3" t="s">
        <v>110</v>
      </c>
      <c r="B29" s="4" t="s">
        <v>111</v>
      </c>
      <c r="C29" s="3" t="s">
        <v>112</v>
      </c>
      <c r="D29" s="3" t="s">
        <v>113</v>
      </c>
      <c r="E29" s="3" t="s">
        <v>114</v>
      </c>
      <c r="F29" s="5">
        <v>419.9</v>
      </c>
      <c r="G29" s="6">
        <v>1.6</v>
      </c>
      <c r="H29" s="7">
        <v>35</v>
      </c>
      <c r="I29" s="7">
        <v>25</v>
      </c>
      <c r="J29" s="7">
        <v>15</v>
      </c>
      <c r="K29" s="8">
        <f t="shared" si="0"/>
        <v>75</v>
      </c>
      <c r="L29" s="9">
        <f t="shared" si="1"/>
        <v>2.19</v>
      </c>
      <c r="M29" s="9">
        <f t="shared" si="2"/>
        <v>2.19</v>
      </c>
      <c r="N29" s="10" t="str">
        <f t="shared" si="3"/>
        <v>SIM</v>
      </c>
      <c r="O29" s="3" t="s">
        <v>23</v>
      </c>
      <c r="P29" s="4"/>
    </row>
    <row r="30" spans="1:16" x14ac:dyDescent="0.25">
      <c r="A30" s="3" t="s">
        <v>115</v>
      </c>
      <c r="B30" s="4" t="s">
        <v>116</v>
      </c>
      <c r="C30" s="3" t="s">
        <v>117</v>
      </c>
      <c r="D30" s="3" t="s">
        <v>113</v>
      </c>
      <c r="E30" s="3" t="s">
        <v>22</v>
      </c>
      <c r="F30" s="5">
        <v>89.9</v>
      </c>
      <c r="G30" s="6">
        <v>0.4</v>
      </c>
      <c r="H30" s="7">
        <v>25</v>
      </c>
      <c r="I30" s="7">
        <v>20</v>
      </c>
      <c r="J30" s="7">
        <v>10</v>
      </c>
      <c r="K30" s="8">
        <f t="shared" si="0"/>
        <v>55</v>
      </c>
      <c r="L30" s="9">
        <f t="shared" si="1"/>
        <v>0.83</v>
      </c>
      <c r="M30" s="9">
        <f t="shared" si="2"/>
        <v>0.83</v>
      </c>
      <c r="N30" s="10" t="str">
        <f t="shared" si="3"/>
        <v>SIM</v>
      </c>
      <c r="O30" s="3" t="s">
        <v>23</v>
      </c>
      <c r="P30" s="4"/>
    </row>
    <row r="31" spans="1:16" x14ac:dyDescent="0.25">
      <c r="A31" s="3" t="s">
        <v>118</v>
      </c>
      <c r="B31" s="4" t="s">
        <v>119</v>
      </c>
      <c r="C31" s="3" t="s">
        <v>120</v>
      </c>
      <c r="D31" s="3" t="s">
        <v>113</v>
      </c>
      <c r="E31" s="3" t="s">
        <v>22</v>
      </c>
      <c r="F31" s="5">
        <v>129.9</v>
      </c>
      <c r="G31" s="6">
        <v>0.35</v>
      </c>
      <c r="H31" s="7">
        <v>30</v>
      </c>
      <c r="I31" s="7">
        <v>25</v>
      </c>
      <c r="J31" s="7">
        <v>5</v>
      </c>
      <c r="K31" s="8">
        <f t="shared" si="0"/>
        <v>60</v>
      </c>
      <c r="L31" s="9">
        <f t="shared" si="1"/>
        <v>0.63</v>
      </c>
      <c r="M31" s="9">
        <f t="shared" si="2"/>
        <v>0.63</v>
      </c>
      <c r="N31" s="10" t="str">
        <f t="shared" si="3"/>
        <v>SIM</v>
      </c>
      <c r="O31" s="3" t="s">
        <v>23</v>
      </c>
      <c r="P31" s="4"/>
    </row>
    <row r="32" spans="1:16" x14ac:dyDescent="0.25">
      <c r="A32" s="3" t="s">
        <v>121</v>
      </c>
      <c r="B32" s="4" t="s">
        <v>122</v>
      </c>
      <c r="C32" s="3" t="s">
        <v>123</v>
      </c>
      <c r="D32" s="3" t="s">
        <v>113</v>
      </c>
      <c r="E32" s="3" t="s">
        <v>22</v>
      </c>
      <c r="F32" s="5">
        <v>189.9</v>
      </c>
      <c r="G32" s="6">
        <v>0.45</v>
      </c>
      <c r="H32" s="7">
        <v>40</v>
      </c>
      <c r="I32" s="7">
        <v>40</v>
      </c>
      <c r="J32" s="7">
        <v>20</v>
      </c>
      <c r="K32" s="8">
        <f t="shared" si="0"/>
        <v>100</v>
      </c>
      <c r="L32" s="9">
        <f t="shared" si="1"/>
        <v>5.33</v>
      </c>
      <c r="M32" s="9">
        <f t="shared" si="2"/>
        <v>5.33</v>
      </c>
      <c r="N32" s="10" t="str">
        <f t="shared" si="3"/>
        <v>SIM</v>
      </c>
      <c r="O32" s="3" t="s">
        <v>23</v>
      </c>
      <c r="P32" s="4" t="s">
        <v>124</v>
      </c>
    </row>
    <row r="33" spans="1:16" ht="25.5" x14ac:dyDescent="0.25">
      <c r="A33" s="3" t="s">
        <v>125</v>
      </c>
      <c r="B33" s="4" t="s">
        <v>126</v>
      </c>
      <c r="C33" s="3" t="s">
        <v>127</v>
      </c>
      <c r="D33" s="3" t="s">
        <v>113</v>
      </c>
      <c r="E33" s="3" t="s">
        <v>22</v>
      </c>
      <c r="F33" s="5">
        <v>2890</v>
      </c>
      <c r="G33" s="6">
        <v>12</v>
      </c>
      <c r="H33" s="7">
        <v>65</v>
      </c>
      <c r="I33" s="7">
        <v>50</v>
      </c>
      <c r="J33" s="7">
        <v>40</v>
      </c>
      <c r="K33" s="8">
        <f t="shared" si="0"/>
        <v>155</v>
      </c>
      <c r="L33" s="9">
        <f t="shared" si="1"/>
        <v>21.67</v>
      </c>
      <c r="M33" s="9">
        <f t="shared" si="2"/>
        <v>21.67</v>
      </c>
      <c r="N33" s="10" t="str">
        <f t="shared" si="3"/>
        <v>SIM</v>
      </c>
      <c r="O33" s="11" t="s">
        <v>37</v>
      </c>
      <c r="P33" s="4" t="s">
        <v>128</v>
      </c>
    </row>
    <row r="35" spans="1:16" x14ac:dyDescent="0.25">
      <c r="A35" s="12" t="s">
        <v>129</v>
      </c>
    </row>
    <row r="36" spans="1:16" x14ac:dyDescent="0.25">
      <c r="A36" s="13" t="s">
        <v>130</v>
      </c>
    </row>
    <row r="37" spans="1:16" x14ac:dyDescent="0.25">
      <c r="A37" s="13" t="s">
        <v>131</v>
      </c>
    </row>
    <row r="38" spans="1:16" x14ac:dyDescent="0.25">
      <c r="A38" s="13" t="s">
        <v>132</v>
      </c>
    </row>
    <row r="39" spans="1:16" x14ac:dyDescent="0.25">
      <c r="A39" s="13" t="s">
        <v>133</v>
      </c>
    </row>
    <row r="40" spans="1:16" x14ac:dyDescent="0.25">
      <c r="A40" s="13" t="s">
        <v>134</v>
      </c>
    </row>
  </sheetData>
  <autoFilter ref="A4:P33" xr:uid="{00000000-0009-0000-0000-000000000000}"/>
  <mergeCells count="1"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/>
  </sheetViews>
  <sheetFormatPr defaultRowHeight="15" x14ac:dyDescent="0.25"/>
  <cols>
    <col min="1" max="1" width="58" customWidth="1"/>
    <col min="2" max="2" width="14" customWidth="1"/>
    <col min="3" max="3" width="20" customWidth="1"/>
  </cols>
  <sheetData>
    <row r="1" spans="1:3" ht="18" x14ac:dyDescent="0.25">
      <c r="A1" s="1" t="s">
        <v>135</v>
      </c>
    </row>
    <row r="2" spans="1:3" x14ac:dyDescent="0.25">
      <c r="A2" s="13" t="s">
        <v>136</v>
      </c>
    </row>
    <row r="4" spans="1:3" x14ac:dyDescent="0.25">
      <c r="A4" s="14" t="s">
        <v>137</v>
      </c>
      <c r="B4" s="15"/>
      <c r="C4" s="15"/>
    </row>
    <row r="5" spans="1:3" x14ac:dyDescent="0.25">
      <c r="A5" s="16" t="s">
        <v>138</v>
      </c>
      <c r="B5" s="16" t="s">
        <v>139</v>
      </c>
      <c r="C5" s="16" t="s">
        <v>140</v>
      </c>
    </row>
    <row r="6" spans="1:3" x14ac:dyDescent="0.25">
      <c r="A6" s="17" t="s">
        <v>23</v>
      </c>
      <c r="B6" s="17">
        <f>COUNTIF(Produtos!$O$5:$O$33,A6)</f>
        <v>17</v>
      </c>
      <c r="C6" s="18">
        <f>IFERROR(B6/$B$9,0)</f>
        <v>0.58620689655172409</v>
      </c>
    </row>
    <row r="7" spans="1:3" x14ac:dyDescent="0.25">
      <c r="A7" s="17" t="s">
        <v>37</v>
      </c>
      <c r="B7" s="17">
        <f>COUNTIF(Produtos!$O$5:$O$33,A7)</f>
        <v>11</v>
      </c>
      <c r="C7" s="18">
        <f>IFERROR(B7/$B$9,0)</f>
        <v>0.37931034482758619</v>
      </c>
    </row>
    <row r="8" spans="1:3" x14ac:dyDescent="0.25">
      <c r="A8" s="17" t="s">
        <v>80</v>
      </c>
      <c r="B8" s="17">
        <f>COUNTIF(Produtos!$O$5:$O$33,A8)</f>
        <v>1</v>
      </c>
      <c r="C8" s="18">
        <f>IFERROR(B8/$B$9,0)</f>
        <v>3.4482758620689655E-2</v>
      </c>
    </row>
    <row r="9" spans="1:3" x14ac:dyDescent="0.25">
      <c r="A9" s="19" t="s">
        <v>141</v>
      </c>
      <c r="B9" s="19">
        <f>SUM(B6:B8)</f>
        <v>29</v>
      </c>
      <c r="C9" s="20">
        <f>IFERROR(SUM(C6:C8),0)</f>
        <v>0.99999999999999989</v>
      </c>
    </row>
    <row r="11" spans="1:3" x14ac:dyDescent="0.25">
      <c r="A11" s="14" t="s">
        <v>142</v>
      </c>
      <c r="B11" s="15"/>
      <c r="C11" s="15"/>
    </row>
    <row r="12" spans="1:3" x14ac:dyDescent="0.25">
      <c r="A12" s="16" t="s">
        <v>143</v>
      </c>
      <c r="B12" s="16" t="s">
        <v>139</v>
      </c>
      <c r="C12" s="16" t="s">
        <v>144</v>
      </c>
    </row>
    <row r="13" spans="1:3" x14ac:dyDescent="0.25">
      <c r="A13" s="17" t="s">
        <v>145</v>
      </c>
      <c r="B13" s="17">
        <f>COUNTIFS(Produtos!$O$5:$O$33,"Correios",Produtos!$M$5:$M$33,"&gt;0",Produtos!$M$5:$M$33,"&lt;=1")</f>
        <v>8</v>
      </c>
      <c r="C13" s="18">
        <f t="shared" ref="C13:C18" si="0">IFERROR(B13/$B$6,0)</f>
        <v>0.47058823529411764</v>
      </c>
    </row>
    <row r="14" spans="1:3" x14ac:dyDescent="0.25">
      <c r="A14" s="17" t="s">
        <v>146</v>
      </c>
      <c r="B14" s="17">
        <f>COUNTIFS(Produtos!$O$5:$O$33,"Correios",Produtos!$M$5:$M$33,"&gt;1",Produtos!$M$5:$M$33,"&lt;=3")</f>
        <v>3</v>
      </c>
      <c r="C14" s="18">
        <f t="shared" si="0"/>
        <v>0.17647058823529413</v>
      </c>
    </row>
    <row r="15" spans="1:3" x14ac:dyDescent="0.25">
      <c r="A15" s="17" t="s">
        <v>147</v>
      </c>
      <c r="B15" s="17">
        <f>COUNTIFS(Produtos!$O$5:$O$33,"Correios",Produtos!$M$5:$M$33,"&gt;3",Produtos!$M$5:$M$33,"&lt;=5")</f>
        <v>0</v>
      </c>
      <c r="C15" s="18">
        <f t="shared" si="0"/>
        <v>0</v>
      </c>
    </row>
    <row r="16" spans="1:3" x14ac:dyDescent="0.25">
      <c r="A16" s="17" t="s">
        <v>148</v>
      </c>
      <c r="B16" s="17">
        <f>COUNTIFS(Produtos!$O$5:$O$33,"Correios",Produtos!$M$5:$M$33,"&gt;5",Produtos!$M$5:$M$33,"&lt;=10")</f>
        <v>3</v>
      </c>
      <c r="C16" s="18">
        <f t="shared" si="0"/>
        <v>0.17647058823529413</v>
      </c>
    </row>
    <row r="17" spans="1:3" x14ac:dyDescent="0.25">
      <c r="A17" s="17" t="s">
        <v>149</v>
      </c>
      <c r="B17" s="17">
        <f>COUNTIFS(Produtos!$O$5:$O$33,"Correios",Produtos!$M$5:$M$33,"&gt;10",Produtos!$M$5:$M$33,"&lt;=20")</f>
        <v>3</v>
      </c>
      <c r="C17" s="18">
        <f t="shared" si="0"/>
        <v>0.17647058823529413</v>
      </c>
    </row>
    <row r="18" spans="1:3" x14ac:dyDescent="0.25">
      <c r="A18" s="17" t="s">
        <v>150</v>
      </c>
      <c r="B18" s="17">
        <f>COUNTIFS(Produtos!$O$5:$O$33,"Correios",Produtos!$M$5:$M$33,"&gt;20",Produtos!$M$5:$M$33,"&lt;=30")</f>
        <v>0</v>
      </c>
      <c r="C18" s="18">
        <f t="shared" si="0"/>
        <v>0</v>
      </c>
    </row>
    <row r="20" spans="1:3" x14ac:dyDescent="0.25">
      <c r="A20" s="14" t="s">
        <v>151</v>
      </c>
      <c r="B20" s="15"/>
    </row>
    <row r="21" spans="1:3" x14ac:dyDescent="0.25">
      <c r="A21" s="17" t="s">
        <v>152</v>
      </c>
      <c r="B21" s="21">
        <f>IFERROR(ROUND(SUMIF(Produtos!$O$5:$O$33,"Correios",Produtos!$M$5:$M$33)/$B$6,2),0)</f>
        <v>4.25</v>
      </c>
    </row>
    <row r="22" spans="1:3" x14ac:dyDescent="0.25">
      <c r="A22" s="17" t="s">
        <v>153</v>
      </c>
      <c r="B22" s="22">
        <f>SUMPRODUCT((Produtos!$O$5:$O$33="Correios")*(Produtos!$L$5:$L$33&gt;Produtos!$G$5:$G$33))</f>
        <v>8</v>
      </c>
    </row>
    <row r="23" spans="1:3" x14ac:dyDescent="0.25">
      <c r="A23" s="17" t="s">
        <v>154</v>
      </c>
      <c r="B23" s="22">
        <f>SUMPRODUCT((Produtos!$O$5:$O$33="Correios")*((Produtos!$H$5:$H$33&gt;70)+(Produtos!$I$5:$I$33&gt;70)+(Produtos!$J$5:$J$33&gt;70)&gt;0))</f>
        <v>1</v>
      </c>
    </row>
    <row r="24" spans="1:3" x14ac:dyDescent="0.25">
      <c r="A24" s="17" t="s">
        <v>155</v>
      </c>
      <c r="B24" s="21">
        <f>ROUND(SUMIF(Produtos!$O$5:$O$33,"Correios",Produtos!$M$5:$M$33),2)</f>
        <v>72.27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/>
  </sheetViews>
  <sheetFormatPr defaultRowHeight="15" x14ac:dyDescent="0.25"/>
  <cols>
    <col min="1" max="1" width="30" customWidth="1"/>
    <col min="2" max="2" width="26" customWidth="1"/>
    <col min="3" max="3" width="82" customWidth="1"/>
  </cols>
  <sheetData>
    <row r="1" spans="1:3" ht="18" x14ac:dyDescent="0.25">
      <c r="A1" s="1" t="s">
        <v>156</v>
      </c>
    </row>
    <row r="2" spans="1:3" x14ac:dyDescent="0.25">
      <c r="A2" s="23" t="s">
        <v>157</v>
      </c>
    </row>
    <row r="4" spans="1:3" x14ac:dyDescent="0.25">
      <c r="A4" s="24" t="s">
        <v>158</v>
      </c>
      <c r="B4" s="24" t="s">
        <v>159</v>
      </c>
      <c r="C4" s="24" t="s">
        <v>160</v>
      </c>
    </row>
    <row r="5" spans="1:3" x14ac:dyDescent="0.25">
      <c r="A5" s="25" t="s">
        <v>161</v>
      </c>
      <c r="B5" s="3" t="s">
        <v>162</v>
      </c>
      <c r="C5" s="4" t="s">
        <v>163</v>
      </c>
    </row>
    <row r="6" spans="1:3" ht="25.5" x14ac:dyDescent="0.25">
      <c r="A6" s="25" t="s">
        <v>164</v>
      </c>
      <c r="B6" s="3" t="s">
        <v>165</v>
      </c>
      <c r="C6" s="4" t="s">
        <v>166</v>
      </c>
    </row>
    <row r="7" spans="1:3" x14ac:dyDescent="0.25">
      <c r="A7" s="25" t="s">
        <v>167</v>
      </c>
      <c r="B7" s="3" t="s">
        <v>168</v>
      </c>
      <c r="C7" s="4" t="s">
        <v>169</v>
      </c>
    </row>
    <row r="8" spans="1:3" x14ac:dyDescent="0.25">
      <c r="A8" s="25" t="s">
        <v>170</v>
      </c>
      <c r="B8" s="3" t="s">
        <v>171</v>
      </c>
      <c r="C8" s="4" t="s">
        <v>172</v>
      </c>
    </row>
    <row r="9" spans="1:3" x14ac:dyDescent="0.25">
      <c r="A9" s="25" t="s">
        <v>173</v>
      </c>
      <c r="B9" s="3" t="s">
        <v>174</v>
      </c>
      <c r="C9" s="4" t="s">
        <v>175</v>
      </c>
    </row>
    <row r="10" spans="1:3" x14ac:dyDescent="0.25">
      <c r="A10" s="25" t="s">
        <v>176</v>
      </c>
      <c r="B10" s="3" t="s">
        <v>177</v>
      </c>
      <c r="C10" s="4" t="s">
        <v>178</v>
      </c>
    </row>
    <row r="11" spans="1:3" x14ac:dyDescent="0.25">
      <c r="A11" s="25" t="s">
        <v>179</v>
      </c>
      <c r="B11" s="3" t="s">
        <v>180</v>
      </c>
      <c r="C11" s="4" t="s">
        <v>181</v>
      </c>
    </row>
    <row r="14" spans="1:3" x14ac:dyDescent="0.25">
      <c r="A14" s="26" t="s">
        <v>182</v>
      </c>
    </row>
    <row r="15" spans="1:3" x14ac:dyDescent="0.25">
      <c r="A15" s="13" t="s">
        <v>183</v>
      </c>
    </row>
    <row r="16" spans="1:3" x14ac:dyDescent="0.25">
      <c r="A16" s="13" t="s">
        <v>184</v>
      </c>
    </row>
    <row r="17" spans="1:1" x14ac:dyDescent="0.25">
      <c r="A17" s="13" t="s">
        <v>185</v>
      </c>
    </row>
    <row r="18" spans="1:1" x14ac:dyDescent="0.25">
      <c r="A18" s="13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Produtos</vt:lpstr>
      <vt:lpstr>Perfil de postagem</vt:lpstr>
      <vt:lpstr>Regras Correios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Ismaile Pereira Machado</cp:lastModifiedBy>
  <dcterms:created xsi:type="dcterms:W3CDTF">2026-09-04T17:09:23Z</dcterms:created>
  <dcterms:modified xsi:type="dcterms:W3CDTF">2026-09-04T17:10:50Z</dcterms:modified>
</cp:coreProperties>
</file>